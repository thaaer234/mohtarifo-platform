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- لوحة القيادة التنفيذية" sheetId="1" state="visible" r:id="rId1"/>
    <sheet xmlns:r="http://schemas.openxmlformats.org/officeDocument/2006/relationships" name="02 - الموقف المالي العام" sheetId="2" state="visible" r:id="rId2"/>
    <sheet xmlns:r="http://schemas.openxmlformats.org/officeDocument/2006/relationships" name="03 - تحليلات الإيرادات" sheetId="3" state="visible" r:id="rId3"/>
    <sheet xmlns:r="http://schemas.openxmlformats.org/officeDocument/2006/relationships" name="04 - تقارير الطلاب المالية" sheetId="4" state="visible" r:id="rId4"/>
    <sheet xmlns:r="http://schemas.openxmlformats.org/officeDocument/2006/relationships" name="05 - التقرير المالي للمدرسين" sheetId="5" state="visible" r:id="rId5"/>
    <sheet xmlns:r="http://schemas.openxmlformats.org/officeDocument/2006/relationships" name="06 - أداء الفروع والمراكز" sheetId="6" state="visible" r:id="rId6"/>
    <sheet xmlns:r="http://schemas.openxmlformats.org/officeDocument/2006/relationships" name="07 - ربحية المواد والكورسات" sheetId="7" state="visible" r:id="rId7"/>
    <sheet xmlns:r="http://schemas.openxmlformats.org/officeDocument/2006/relationships" name="08 - تتبع الدفعات والأقساط" sheetId="8" state="visible" r:id="rId8"/>
    <sheet xmlns:r="http://schemas.openxmlformats.org/officeDocument/2006/relationships" name="09 - الديون والذمم المتعثرة" sheetId="9" state="visible" r:id="rId9"/>
    <sheet xmlns:r="http://schemas.openxmlformats.org/officeDocument/2006/relationships" name="10 - الاستحقاقات المالية Accruals" sheetId="10" state="visible" r:id="rId10"/>
    <sheet xmlns:r="http://schemas.openxmlformats.org/officeDocument/2006/relationships" name="11 - كشف عمولات الشركاء" sheetId="11" state="visible" r:id="rId11"/>
    <sheet xmlns:r="http://schemas.openxmlformats.org/officeDocument/2006/relationships" name="12 - تتبع المصروفات التشغيلية" sheetId="12" state="visible" r:id="rId12"/>
    <sheet xmlns:r="http://schemas.openxmlformats.org/officeDocument/2006/relationships" name="13 - قائمة الدخل P&amp;L" sheetId="13" state="visible" r:id="rId13"/>
    <sheet xmlns:r="http://schemas.openxmlformats.org/officeDocument/2006/relationships" name="14 - تقرير التدفق النقدي" sheetId="14" state="visible" r:id="rId14"/>
    <sheet xmlns:r="http://schemas.openxmlformats.org/officeDocument/2006/relationships" name="15 - ملخص الميزانية العمومية" sheetId="15" state="visible" r:id="rId15"/>
    <sheet xmlns:r="http://schemas.openxmlformats.org/officeDocument/2006/relationships" name="16 - التوقعات المالية Forecasting" sheetId="16" state="visible" r:id="rId16"/>
    <sheet xmlns:r="http://schemas.openxmlformats.org/officeDocument/2006/relationships" name="17 - مؤشرات الأداء الذكية KPI" sheetId="17" state="visible" r:id="rId17"/>
    <sheet xmlns:r="http://schemas.openxmlformats.org/officeDocument/2006/relationships" name="18 - المعاملات والسجلات التفصيلية" sheetId="18" state="visible" r:id="rId18"/>
    <sheet xmlns:r="http://schemas.openxmlformats.org/officeDocument/2006/relationships" name="19 - التنبيهات المالية الذكية" sheetId="19" state="visible" r:id="rId19"/>
    <sheet xmlns:r="http://schemas.openxmlformats.org/officeDocument/2006/relationships" name="20 - إعدادات وتهيئة النظام" sheetId="20" state="visible" r:id="rId20"/>
    <sheet xmlns:r="http://schemas.openxmlformats.org/officeDocument/2006/relationships" name="21 - قاعدة بيانات الربط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334155"/>
      <sz val="9"/>
    </font>
    <font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F2937"/>
      <sz val="24"/>
    </font>
    <font>
      <name val="Segoe UI"/>
      <i val="1"/>
      <color rgb="006B7280"/>
      <sz val="9"/>
    </font>
    <font>
      <b val="1"/>
      <color rgb="0016A34A"/>
      <sz val="12"/>
    </font>
    <font>
      <name val="Cairo"/>
      <b val="1"/>
      <color rgb="00FFFFFF"/>
      <sz val="11"/>
    </font>
    <font>
      <name val="Cairo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CA8A04"/>
        <bgColor rgb="00CA8A04"/>
      </patternFill>
    </fill>
    <fill>
      <patternFill patternType="solid">
        <fgColor rgb="001F2937"/>
        <bgColor rgb="001F2937"/>
      </patternFill>
    </fill>
  </fills>
  <borders count="9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1D5DB"/>
      </left>
      <right style="thin">
        <color rgb="00D1D5DB"/>
      </right>
      <top style="thin">
        <color rgb="00D1D5DB"/>
      </top>
    </border>
    <border>
      <left style="thin">
        <color rgb="00D1D5DB"/>
      </left>
      <right style="thin">
        <color rgb="00D1D5DB"/>
      </right>
    </border>
    <border>
      <left style="thin">
        <color rgb="00D1D5DB"/>
      </left>
      <right style="thin">
        <color rgb="00D1D5DB"/>
      </right>
      <bottom style="medium">
        <color rgb="00059669"/>
      </bottom>
    </border>
    <border>
      <left style="thin">
        <color rgb="00D1D5DB"/>
      </left>
      <right style="thin">
        <color rgb="00D1D5DB"/>
      </right>
      <bottom style="medium">
        <color rgb="002563EB"/>
      </bottom>
    </border>
    <border>
      <left style="thin">
        <color rgb="00D1D5DB"/>
      </left>
      <right style="thin">
        <color rgb="00D1D5DB"/>
      </right>
      <bottom style="medium">
        <color rgb="00DC2626"/>
      </bottom>
    </border>
    <border>
      <left style="thin">
        <color rgb="00D1D5DB"/>
      </left>
      <right style="thin">
        <color rgb="00D1D5DB"/>
      </right>
      <bottom style="medium">
        <color rgb="00CA8A04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1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right" vertical="center"/>
    </xf>
    <xf numFmtId="0" fontId="9" fillId="4" borderId="8" applyAlignment="1" pivotButton="0" quotePrefix="0" xfId="0">
      <alignment horizontal="right" vertical="center"/>
    </xf>
    <xf numFmtId="0" fontId="9" fillId="7" borderId="8" applyAlignment="1" pivotButton="0" quotePrefix="0" xfId="0">
      <alignment horizontal="right" vertical="center"/>
    </xf>
    <xf numFmtId="0" fontId="9" fillId="8" borderId="8" applyAlignment="1" pivotButton="0" quotePrefix="0" xfId="0">
      <alignment horizontal="right" vertical="center"/>
    </xf>
    <xf numFmtId="0" fontId="9" fillId="9" borderId="8" applyAlignment="1" pivotButton="0" quotePrefix="0" xfId="0">
      <alignment horizontal="right" vertical="center"/>
    </xf>
    <xf numFmtId="3" fontId="9" fillId="5" borderId="8" applyAlignment="1" pivotButton="0" quotePrefix="0" xfId="0">
      <alignment horizontal="right" vertical="center"/>
    </xf>
    <xf numFmtId="3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right" vertical="center"/>
    </xf>
    <xf numFmtId="0" fontId="9" fillId="3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right" vertical="center"/>
    </xf>
    <xf numFmtId="0" fontId="9" fillId="0" borderId="8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42" customWidth="1" min="3" max="3"/>
    <col width="32" customWidth="1" min="4" max="4"/>
    <col width="23" customWidth="1" min="5" max="5"/>
  </cols>
  <sheetData>
    <row r="1" ht="28" customHeight="1">
      <c r="A1" s="1" t="n"/>
      <c r="B1" s="1" t="n"/>
      <c r="C1" s="1" t="n"/>
      <c r="D1" s="1" t="n"/>
      <c r="E1" s="1" t="n"/>
    </row>
    <row r="2" ht="22" customHeight="1">
      <c r="A2" s="2" t="n"/>
      <c r="B2" s="3" t="inlineStr">
        <is>
          <t>🏛️ لوحة الرقابة المالية التنفيذية - محترفو التعليم</t>
        </is>
      </c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2" t="n"/>
      <c r="B4" s="4" t="inlineStr">
        <is>
          <t>إجمالي التحصيل النقدي</t>
        </is>
      </c>
      <c r="C4" s="5" t="inlineStr">
        <is>
          <t>إجمالي العمليات الناجحة</t>
        </is>
      </c>
      <c r="D4" s="6" t="inlineStr">
        <is>
          <t>التكلفة المباشرة المقدرة</t>
        </is>
      </c>
      <c r="E4" s="7" t="inlineStr">
        <is>
          <t>صافي الهامش التشغيلي</t>
        </is>
      </c>
    </row>
    <row r="5" ht="22" customHeight="1">
      <c r="A5" s="2" t="n"/>
      <c r="B5" s="8">
        <f>SUM('18 - المعاملات والسجلات التفصيلية'!D:D)</f>
        <v/>
      </c>
      <c r="C5" s="8">
        <f>COUNTA('18 - المعاملات والسجلات التفصيلية'!B:B)-1</f>
        <v/>
      </c>
      <c r="D5" s="8">
        <f>B5 * '20 - إعدادات وتهيئة النظام'!C2</f>
        <v/>
      </c>
      <c r="E5" s="9">
        <f>B5 - D5</f>
        <v/>
      </c>
    </row>
    <row r="6" ht="22" customHeight="1">
      <c r="A6" s="2" t="n"/>
      <c r="B6" s="10" t="inlineStr">
        <is>
          <t>السيولة التاريخية</t>
        </is>
      </c>
      <c r="C6" s="10" t="inlineStr">
        <is>
          <t>سندات مبيع كودات</t>
        </is>
      </c>
      <c r="D6" s="10" t="inlineStr">
        <is>
          <t>حصة المدرسين المفترضة</t>
        </is>
      </c>
      <c r="E6" s="10" t="inlineStr">
        <is>
          <t>الفائض النقدي الخام</t>
        </is>
      </c>
    </row>
  </sheetData>
  <mergeCells count="1">
    <mergeCell ref="B2:E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3" customWidth="1" min="8" max="8"/>
  </cols>
  <sheetData>
    <row r="1" ht="28" customHeight="1">
      <c r="A1" s="1" t="inlineStr">
        <is>
          <t>الطالب</t>
        </is>
      </c>
      <c r="B1" s="1" t="inlineStr">
        <is>
          <t>المسار</t>
        </is>
      </c>
      <c r="C1" s="1" t="inlineStr">
        <is>
          <t>المنطقة</t>
        </is>
      </c>
      <c r="D1" s="1" t="inlineStr">
        <is>
          <t>المواد</t>
        </is>
      </c>
      <c r="E1" s="1" t="inlineStr">
        <is>
          <t>إجمالي الاستحقاق</t>
        </is>
      </c>
      <c r="F1" s="1" t="inlineStr">
        <is>
          <t>المدفوع</t>
        </is>
      </c>
      <c r="G1" s="1" t="inlineStr">
        <is>
          <t>المتبقي</t>
        </is>
      </c>
      <c r="H1" s="1" t="inlineStr">
        <is>
          <t>مؤشر الخطر</t>
        </is>
      </c>
    </row>
    <row r="2" ht="22" customHeight="1">
      <c r="A2" s="11" t="inlineStr">
        <is>
          <t>دارين شماع</t>
        </is>
      </c>
      <c r="B2" s="12" t="inlineStr">
        <is>
          <t>بكالوريا علمي</t>
        </is>
      </c>
      <c r="C2" s="11" t="inlineStr">
        <is>
          <t>دمشق</t>
        </is>
      </c>
      <c r="D2" s="11" t="n">
        <v>0</v>
      </c>
      <c r="E2" s="11" t="n">
        <v>0</v>
      </c>
      <c r="F2" s="11" t="n">
        <v>0</v>
      </c>
      <c r="G2" s="11" t="n">
        <v>0</v>
      </c>
      <c r="H2" s="11" t="inlineStr">
        <is>
          <t>منخفض</t>
        </is>
      </c>
    </row>
    <row r="3" ht="22" customHeight="1">
      <c r="A3" s="2" t="inlineStr">
        <is>
          <t>محمد الحجي</t>
        </is>
      </c>
      <c r="B3" s="13" t="inlineStr">
        <is>
          <t>بكالوريا علمي</t>
        </is>
      </c>
      <c r="C3" s="2" t="inlineStr">
        <is>
          <t>دمشق</t>
        </is>
      </c>
      <c r="D3" s="2" t="n">
        <v>8</v>
      </c>
      <c r="E3" s="2" t="n">
        <v>0</v>
      </c>
      <c r="F3" s="2" t="n">
        <v>0</v>
      </c>
      <c r="G3" s="2" t="n">
        <v>0</v>
      </c>
      <c r="H3" s="2" t="inlineStr">
        <is>
          <t>منخفض</t>
        </is>
      </c>
    </row>
    <row r="4" ht="22" customHeight="1">
      <c r="A4" s="11" t="inlineStr">
        <is>
          <t>ثائر المصري</t>
        </is>
      </c>
      <c r="B4" s="11" t="inlineStr">
        <is>
          <t>-</t>
        </is>
      </c>
      <c r="C4" s="11" t="inlineStr">
        <is>
          <t>-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inlineStr">
        <is>
          <t>منخفض</t>
        </is>
      </c>
    </row>
    <row r="5" ht="22" customHeight="1">
      <c r="A5" s="2" t="inlineStr">
        <is>
          <t>Test Student</t>
        </is>
      </c>
      <c r="B5" s="13" t="inlineStr">
        <is>
          <t>بكالوريا علمي</t>
        </is>
      </c>
      <c r="C5" s="2" t="inlineStr">
        <is>
          <t>دمشق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منخفض</t>
        </is>
      </c>
    </row>
    <row r="6" ht="22" customHeight="1">
      <c r="A6" s="11" t="inlineStr">
        <is>
          <t>ثائر المصري</t>
        </is>
      </c>
      <c r="B6" s="11" t="inlineStr">
        <is>
          <t>-</t>
        </is>
      </c>
      <c r="C6" s="11" t="inlineStr">
        <is>
          <t>-</t>
        </is>
      </c>
      <c r="D6" s="11" t="n">
        <v>2</v>
      </c>
      <c r="E6" s="11" t="n">
        <v>0</v>
      </c>
      <c r="F6" s="11" t="n">
        <v>0</v>
      </c>
      <c r="G6" s="11" t="n">
        <v>0</v>
      </c>
      <c r="H6" s="11" t="inlineStr">
        <is>
          <t>منخفض</t>
        </is>
      </c>
    </row>
    <row r="7" ht="22" customHeight="1">
      <c r="A7" s="2" t="inlineStr">
        <is>
          <t>اكرم حمدان</t>
        </is>
      </c>
      <c r="B7" s="13" t="inlineStr">
        <is>
          <t>بكالوريا علمي</t>
        </is>
      </c>
      <c r="C7" s="2" t="inlineStr">
        <is>
          <t>دمشق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منخفض</t>
        </is>
      </c>
    </row>
    <row r="8" ht="22" customHeight="1">
      <c r="A8" s="12" t="inlineStr">
        <is>
          <t>عبد الله جنيد</t>
        </is>
      </c>
      <c r="B8" s="12" t="inlineStr">
        <is>
          <t>بكالوريا علمي</t>
        </is>
      </c>
      <c r="C8" s="11" t="inlineStr">
        <is>
          <t>دمشق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inlineStr">
        <is>
          <t>منخفض</t>
        </is>
      </c>
    </row>
  </sheetData>
  <conditionalFormatting sqref="H2:H9">
    <cfRule type="cellIs" priority="1" operator="equal" dxfId="0">
      <formula>"منخفض"</formula>
    </cfRule>
  </conditionalFormatting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23" customWidth="1" min="4" max="4"/>
    <col width="20" customWidth="1" min="5" max="5"/>
    <col width="17" customWidth="1" min="6" max="6"/>
  </cols>
  <sheetData>
    <row r="1" ht="28" customHeight="1">
      <c r="A1" s="1" t="inlineStr">
        <is>
          <t>المدرس</t>
        </is>
      </c>
      <c r="B1" s="1" t="inlineStr">
        <is>
          <t>الطلاب</t>
        </is>
      </c>
      <c r="C1" s="1" t="inlineStr">
        <is>
          <t>الإيراد المحقق</t>
        </is>
      </c>
      <c r="D1" s="1" t="inlineStr">
        <is>
          <t>العمولة المتفق عليها</t>
        </is>
      </c>
      <c r="E1" s="1" t="inlineStr">
        <is>
          <t>المستحقات المقدرة</t>
        </is>
      </c>
      <c r="F1" s="1" t="inlineStr">
        <is>
          <t>حالة الصرف</t>
        </is>
      </c>
    </row>
    <row r="2" ht="22" customHeight="1">
      <c r="A2" s="11" t="inlineStr">
        <is>
          <t>علي منصور</t>
        </is>
      </c>
      <c r="B2" s="11" t="n">
        <v>1</v>
      </c>
      <c r="C2" s="11" t="n">
        <v>0</v>
      </c>
      <c r="D2" s="11" t="n">
        <v>0.45</v>
      </c>
      <c r="E2" s="11">
        <f>C2*D2</f>
        <v/>
      </c>
      <c r="F2" s="12" t="inlineStr">
        <is>
          <t>معلقة بالتسوية</t>
        </is>
      </c>
    </row>
    <row r="3" ht="22" customHeight="1">
      <c r="A3" s="2" t="inlineStr">
        <is>
          <t>ثائر المصري</t>
        </is>
      </c>
      <c r="B3" s="2" t="n">
        <v>0</v>
      </c>
      <c r="C3" s="2" t="n">
        <v>0</v>
      </c>
      <c r="D3" s="2" t="n">
        <v>0.45</v>
      </c>
      <c r="E3" s="2">
        <f>C3*D3</f>
        <v/>
      </c>
      <c r="F3" s="13" t="inlineStr">
        <is>
          <t>معلقة بالتسوية</t>
        </is>
      </c>
    </row>
    <row r="4" ht="22" customHeight="1">
      <c r="A4" s="12" t="inlineStr">
        <is>
          <t>أ. عمار الرياضيات</t>
        </is>
      </c>
      <c r="B4" s="11" t="n">
        <v>0</v>
      </c>
      <c r="C4" s="11" t="n">
        <v>0</v>
      </c>
      <c r="D4" s="11" t="n">
        <v>0.45</v>
      </c>
      <c r="E4" s="11">
        <f>C4*D4</f>
        <v/>
      </c>
      <c r="F4" s="12" t="inlineStr">
        <is>
          <t>معلقة بالتسوية</t>
        </is>
      </c>
    </row>
    <row r="5" ht="22" customHeight="1">
      <c r="A5" s="13" t="inlineStr">
        <is>
          <t>أ. سامر الرياضيات</t>
        </is>
      </c>
      <c r="B5" s="2" t="n">
        <v>0</v>
      </c>
      <c r="C5" s="2" t="n">
        <v>0</v>
      </c>
      <c r="D5" s="2" t="n">
        <v>0.45</v>
      </c>
      <c r="E5" s="2">
        <f>C5*D5</f>
        <v/>
      </c>
      <c r="F5" s="13" t="inlineStr">
        <is>
          <t>معلقة بالتسوية</t>
        </is>
      </c>
    </row>
    <row r="6" ht="22" customHeight="1">
      <c r="A6" s="12" t="inlineStr">
        <is>
          <t>أ. نور الفيزياء</t>
        </is>
      </c>
      <c r="B6" s="11" t="n">
        <v>0</v>
      </c>
      <c r="C6" s="11" t="n">
        <v>0</v>
      </c>
      <c r="D6" s="11" t="n">
        <v>0.45</v>
      </c>
      <c r="E6" s="11">
        <f>C6*D6</f>
        <v/>
      </c>
      <c r="F6" s="12" t="inlineStr">
        <is>
          <t>معلقة بالتسوية</t>
        </is>
      </c>
    </row>
    <row r="7" ht="22" customHeight="1">
      <c r="A7" s="13" t="inlineStr">
        <is>
          <t>أ. لينا العربي</t>
        </is>
      </c>
      <c r="B7" s="2" t="n">
        <v>0</v>
      </c>
      <c r="C7" s="2" t="n">
        <v>0</v>
      </c>
      <c r="D7" s="2" t="n">
        <v>0.45</v>
      </c>
      <c r="E7" s="2">
        <f>C7*D7</f>
        <v/>
      </c>
      <c r="F7" s="13" t="inlineStr">
        <is>
          <t>معلقة بالتسوية</t>
        </is>
      </c>
    </row>
    <row r="8" ht="22" customHeight="1">
      <c r="A8" s="12" t="inlineStr">
        <is>
          <t>أ. عمر العربي</t>
        </is>
      </c>
      <c r="B8" s="11" t="n">
        <v>0</v>
      </c>
      <c r="C8" s="11" t="n">
        <v>0</v>
      </c>
      <c r="D8" s="11" t="n">
        <v>0.45</v>
      </c>
      <c r="E8" s="11">
        <f>C8*D8</f>
        <v/>
      </c>
      <c r="F8" s="12" t="inlineStr">
        <is>
          <t>معلقة بالتسوية</t>
        </is>
      </c>
    </row>
    <row r="9" ht="22" customHeight="1">
      <c r="A9" s="2" t="inlineStr">
        <is>
          <t>ثصق</t>
        </is>
      </c>
      <c r="B9" s="2" t="n">
        <v>0</v>
      </c>
      <c r="C9" s="2" t="n">
        <v>0</v>
      </c>
      <c r="D9" s="2" t="n">
        <v>0.45</v>
      </c>
      <c r="E9" s="2">
        <f>C9*D9</f>
        <v/>
      </c>
      <c r="F9" s="13" t="inlineStr">
        <is>
          <t>معلقة بالتسوية</t>
        </is>
      </c>
    </row>
  </sheetData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5" customWidth="1" min="4" max="4"/>
    <col width="15" customWidth="1" min="5" max="5"/>
    <col width="24" customWidth="1" min="6" max="6"/>
  </cols>
  <sheetData>
    <row r="1" ht="28" customHeight="1">
      <c r="A1" s="1" t="inlineStr">
        <is>
          <t>عنوان المادة</t>
        </is>
      </c>
      <c r="B1" s="1" t="inlineStr">
        <is>
          <t>المسجلين</t>
        </is>
      </c>
      <c r="C1" s="1" t="inlineStr">
        <is>
          <t>الإيراد الكلي</t>
        </is>
      </c>
      <c r="D1" s="1" t="inlineStr">
        <is>
          <t>تكلفة المدرس</t>
        </is>
      </c>
      <c r="E1" s="1" t="inlineStr">
        <is>
          <t>صافي الربحية</t>
        </is>
      </c>
      <c r="F1" s="1" t="inlineStr">
        <is>
          <t>هامش الربح %</t>
        </is>
      </c>
    </row>
    <row r="2" ht="22" customHeight="1">
      <c r="A2" s="11" t="inlineStr">
        <is>
          <t>ثصقصث</t>
        </is>
      </c>
      <c r="B2" s="11" t="n">
        <v>0</v>
      </c>
      <c r="C2" s="11" t="n">
        <v>0</v>
      </c>
      <c r="D2" s="11">
        <f>C2 * 0.45</f>
        <v/>
      </c>
      <c r="E2" s="11">
        <f>C2 - D2</f>
        <v/>
      </c>
      <c r="F2" s="12">
        <f>IFERROR(E2/C2, 0)</f>
        <v/>
      </c>
    </row>
    <row r="3" ht="22" customHeight="1">
      <c r="A3" s="13" t="inlineStr">
        <is>
          <t>مكثفة اللغة العربية المشتركة - أ. عمر</t>
        </is>
      </c>
      <c r="B3" s="2" t="n">
        <v>0</v>
      </c>
      <c r="C3" s="2" t="n">
        <v>0</v>
      </c>
      <c r="D3" s="2">
        <f>C3 * 0.45</f>
        <v/>
      </c>
      <c r="E3" s="2">
        <f>C3 - D3</f>
        <v/>
      </c>
      <c r="F3" s="13">
        <f>IFERROR(E3/C3, 0)</f>
        <v/>
      </c>
    </row>
    <row r="4" ht="22" customHeight="1">
      <c r="A4" s="12" t="inlineStr">
        <is>
          <t>مكثفة اللغة العربية المشتركة - أ. لينا</t>
        </is>
      </c>
      <c r="B4" s="11" t="n">
        <v>0</v>
      </c>
      <c r="C4" s="11" t="n">
        <v>0</v>
      </c>
      <c r="D4" s="11">
        <f>C4 * 0.45</f>
        <v/>
      </c>
      <c r="E4" s="11">
        <f>C4 - D4</f>
        <v/>
      </c>
      <c r="F4" s="12">
        <f>IFERROR(E4/C4, 0)</f>
        <v/>
      </c>
    </row>
    <row r="5" ht="22" customHeight="1">
      <c r="A5" s="13" t="inlineStr">
        <is>
          <t>مكثفة الفيزياء العلمي</t>
        </is>
      </c>
      <c r="B5" s="2" t="n">
        <v>0</v>
      </c>
      <c r="C5" s="2" t="n">
        <v>0</v>
      </c>
      <c r="D5" s="2">
        <f>C5 * 0.45</f>
        <v/>
      </c>
      <c r="E5" s="2">
        <f>C5 - D5</f>
        <v/>
      </c>
      <c r="F5" s="13">
        <f>IFERROR(E5/C5, 0)</f>
        <v/>
      </c>
    </row>
    <row r="6" ht="22" customHeight="1">
      <c r="A6" s="12" t="inlineStr">
        <is>
          <t>مكثفة الرياضيات العلمي - أ. سامر</t>
        </is>
      </c>
      <c r="B6" s="11" t="n">
        <v>0</v>
      </c>
      <c r="C6" s="11" t="n">
        <v>0</v>
      </c>
      <c r="D6" s="11">
        <f>C6 * 0.45</f>
        <v/>
      </c>
      <c r="E6" s="11">
        <f>C6 - D6</f>
        <v/>
      </c>
      <c r="F6" s="12">
        <f>IFERROR(E6/C6, 0)</f>
        <v/>
      </c>
    </row>
    <row r="7" ht="22" customHeight="1">
      <c r="A7" s="13" t="inlineStr">
        <is>
          <t>مكثفة الرياضيات العلمي - أ. عمار</t>
        </is>
      </c>
      <c r="B7" s="2" t="n">
        <v>0</v>
      </c>
      <c r="C7" s="2" t="n">
        <v>0</v>
      </c>
      <c r="D7" s="2">
        <f>C7 * 0.45</f>
        <v/>
      </c>
      <c r="E7" s="2">
        <f>C7 - D7</f>
        <v/>
      </c>
      <c r="F7" s="13">
        <f>IFERROR(E7/C7, 0)</f>
        <v/>
      </c>
    </row>
    <row r="8" ht="22" customHeight="1">
      <c r="A8" s="12" t="inlineStr">
        <is>
          <t>????? ????? ??????? ???????? - ?. ???</t>
        </is>
      </c>
      <c r="B8" s="11" t="n">
        <v>0</v>
      </c>
      <c r="C8" s="11" t="n">
        <v>0</v>
      </c>
      <c r="D8" s="11">
        <f>C8 * 0.45</f>
        <v/>
      </c>
      <c r="E8" s="11">
        <f>C8 - D8</f>
        <v/>
      </c>
      <c r="F8" s="12">
        <f>IFERROR(E8/C8, 0)</f>
        <v/>
      </c>
    </row>
    <row r="9" ht="22" customHeight="1">
      <c r="A9" s="13" t="inlineStr">
        <is>
          <t>????? ????? ??????? ???????? - ?. ????</t>
        </is>
      </c>
      <c r="B9" s="2" t="n">
        <v>0</v>
      </c>
      <c r="C9" s="2" t="n">
        <v>0</v>
      </c>
      <c r="D9" s="2">
        <f>C9 * 0.45</f>
        <v/>
      </c>
      <c r="E9" s="2">
        <f>C9 - D9</f>
        <v/>
      </c>
      <c r="F9" s="13">
        <f>IFERROR(E9/C9, 0)</f>
        <v/>
      </c>
    </row>
    <row r="10" ht="22" customHeight="1">
      <c r="A10" s="12" t="inlineStr">
        <is>
          <t>????? ???????? ??????</t>
        </is>
      </c>
      <c r="B10" s="11" t="n">
        <v>0</v>
      </c>
      <c r="C10" s="11" t="n">
        <v>0</v>
      </c>
      <c r="D10" s="11">
        <f>C10 * 0.45</f>
        <v/>
      </c>
      <c r="E10" s="11">
        <f>C10 - D10</f>
        <v/>
      </c>
      <c r="F10" s="12">
        <f>IFERROR(E10/C10, 0)</f>
        <v/>
      </c>
    </row>
    <row r="11" ht="22" customHeight="1">
      <c r="A11" s="13" t="inlineStr">
        <is>
          <t>????? ????????? ?????? - ?. ????</t>
        </is>
      </c>
      <c r="B11" s="2" t="n">
        <v>0</v>
      </c>
      <c r="C11" s="2" t="n">
        <v>0</v>
      </c>
      <c r="D11" s="2">
        <f>C11 * 0.45</f>
        <v/>
      </c>
      <c r="E11" s="2">
        <f>C11 - D11</f>
        <v/>
      </c>
      <c r="F11" s="13">
        <f>IFERROR(E11/C11, 0)</f>
        <v/>
      </c>
    </row>
    <row r="12" ht="22" customHeight="1">
      <c r="A12" s="12" t="inlineStr">
        <is>
          <t>مكثفة الفيزياء - طريقك للـ 400</t>
        </is>
      </c>
      <c r="B12" s="11" t="n">
        <v>1</v>
      </c>
      <c r="C12" s="11" t="n">
        <v>0</v>
      </c>
      <c r="D12" s="11">
        <f>C12 * 0.45</f>
        <v/>
      </c>
      <c r="E12" s="11">
        <f>C12 - D12</f>
        <v/>
      </c>
      <c r="F12" s="12">
        <f>IFERROR(E12/C12, 0)</f>
        <v/>
      </c>
    </row>
    <row r="13" ht="22" customHeight="1">
      <c r="A13" s="13" t="inlineStr">
        <is>
          <t>مكثفة الرياضيات - الأستاذ علي منصور</t>
        </is>
      </c>
      <c r="B13" s="2" t="n">
        <v>0</v>
      </c>
      <c r="C13" s="2" t="n">
        <v>0</v>
      </c>
      <c r="D13" s="2">
        <f>C13 * 0.45</f>
        <v/>
      </c>
      <c r="E13" s="2">
        <f>C13 - D13</f>
        <v/>
      </c>
      <c r="F13" s="13">
        <f>IFERROR(E13/C13, 0)</f>
        <v/>
      </c>
    </row>
  </sheetData>
  <conditionalFormatting sqref="F2:F14">
    <cfRule type="colorScale" priority="1">
      <colorScale>
        <cfvo type="min"/>
        <cfvo type="max"/>
        <color rgb="00FCA5A5"/>
        <color rgb="0086EFAC"/>
      </colorScale>
    </cfRule>
  </conditionalFormatting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9" customWidth="1" min="3" max="3"/>
  </cols>
  <sheetData>
    <row r="1" ht="28" customHeight="1">
      <c r="A1" s="1" t="inlineStr"/>
      <c r="B1" s="1" t="inlineStr">
        <is>
          <t>📋 كشف الأرباح والخسائر التشغيلي</t>
        </is>
      </c>
      <c r="C1" s="1" t="inlineStr">
        <is>
          <t>التحليل الرقمي</t>
        </is>
      </c>
    </row>
    <row r="2" ht="22" customHeight="1">
      <c r="A2" s="2" t="inlineStr"/>
      <c r="B2" s="12" t="inlineStr">
        <is>
          <t>صافي الإيرادات (Net Revenue)</t>
        </is>
      </c>
      <c r="C2" s="12">
        <f>SUM('18 - المعاملات والسجلات التفصيلية'!D:D)</f>
        <v/>
      </c>
    </row>
    <row r="3" ht="22" customHeight="1">
      <c r="A3" s="2" t="inlineStr"/>
      <c r="B3" s="13" t="inlineStr">
        <is>
          <t>(-) التكلفة المباشرة للتدريس</t>
        </is>
      </c>
      <c r="C3" s="13">
        <f>SUM('05 - التقرير المالي للمدرسين'!E:E)</f>
        <v/>
      </c>
    </row>
    <row r="4" ht="22" customHeight="1">
      <c r="A4" s="2" t="inlineStr"/>
      <c r="B4" s="12" t="inlineStr">
        <is>
          <t>إجمالي هامش المساهمة (Gross Margin)</t>
        </is>
      </c>
      <c r="C4" s="11">
        <f>C3 - C4</f>
        <v/>
      </c>
    </row>
    <row r="5" ht="22" customHeight="1">
      <c r="A5" s="2" t="inlineStr"/>
      <c r="B5" s="13" t="inlineStr">
        <is>
          <t>(-) مصاريف النقل والاستضافة (Hosting 3%)</t>
        </is>
      </c>
      <c r="C5" s="13">
        <f>C3 * '20 - إعدادات وتهيئة النظام'!C3</f>
        <v/>
      </c>
    </row>
    <row r="6" ht="22" customHeight="1">
      <c r="A6" s="2" t="inlineStr"/>
      <c r="B6" s="12" t="inlineStr">
        <is>
          <t>المصاريف الإدارية التقديرية</t>
        </is>
      </c>
      <c r="C6" s="11" t="n">
        <v>100000</v>
      </c>
    </row>
    <row r="7" ht="22" customHeight="1">
      <c r="A7" s="2" t="inlineStr"/>
      <c r="B7" s="13" t="inlineStr">
        <is>
          <t>صافي الربح التشغيلي (Net Profit)</t>
        </is>
      </c>
      <c r="C7" s="13">
        <f>C5 - C6 - C7</f>
        <v/>
      </c>
    </row>
    <row r="8" ht="22" customHeight="1">
      <c r="A8" s="2" t="n"/>
      <c r="B8" s="11" t="n"/>
      <c r="C8" s="11" t="n"/>
    </row>
  </sheetData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</cols>
  <sheetData>
    <row r="1" ht="28" customHeight="1">
      <c r="A1" s="1" t="inlineStr"/>
      <c r="B1" s="1" t="inlineStr">
        <is>
          <t>⚖️ هيكلية المركز المالي</t>
        </is>
      </c>
      <c r="C1" s="1" t="inlineStr">
        <is>
          <t>القيمة</t>
        </is>
      </c>
    </row>
    <row r="2" ht="22" customHeight="1">
      <c r="A2" s="2" t="inlineStr"/>
      <c r="B2" s="12" t="inlineStr">
        <is>
          <t>السيولة النقدية بالصندوق</t>
        </is>
      </c>
      <c r="C2" s="11" t="n">
        <v>0</v>
      </c>
    </row>
    <row r="3" ht="22" customHeight="1">
      <c r="A3" s="2" t="inlineStr"/>
      <c r="B3" s="13" t="inlineStr">
        <is>
          <t>ذمم الطلاب المدينة</t>
        </is>
      </c>
      <c r="C3" s="13">
        <f>SUM('04 - تقارير الطلاب المالية'!G:G)</f>
        <v/>
      </c>
    </row>
    <row r="4" ht="22" customHeight="1">
      <c r="A4" s="2" t="inlineStr"/>
      <c r="B4" s="12" t="inlineStr">
        <is>
          <t>👉 إجمالي الأصول المتداولة</t>
        </is>
      </c>
      <c r="C4" s="11">
        <f>C3 + C4</f>
        <v/>
      </c>
    </row>
    <row r="5" ht="22" customHeight="1">
      <c r="A5" s="2" t="inlineStr"/>
      <c r="B5" s="13" t="inlineStr">
        <is>
          <t>التزامات مستحقة للمدرسين</t>
        </is>
      </c>
      <c r="C5" s="13">
        <f>SUM('05 - التقرير المالي للمدرسين'!E:E)</f>
        <v/>
      </c>
    </row>
    <row r="6" ht="22" customHeight="1">
      <c r="A6" s="2" t="inlineStr"/>
      <c r="B6" s="12" t="inlineStr">
        <is>
          <t>الأرباح المحتجزة (Equity)</t>
        </is>
      </c>
      <c r="C6" s="12">
        <f>'13 - قائمة الدخل P&amp;L'!C8</f>
        <v/>
      </c>
    </row>
    <row r="7" ht="22" customHeight="1">
      <c r="A7" s="2" t="inlineStr"/>
      <c r="B7" s="13" t="inlineStr">
        <is>
          <t>👉 إجمالي الخصوم وحقوق الملكية</t>
        </is>
      </c>
      <c r="C7" s="2">
        <f>C6 + C7</f>
        <v/>
      </c>
    </row>
    <row r="8" ht="22" customHeight="1">
      <c r="A8" s="2" t="n"/>
      <c r="B8" s="11" t="n"/>
      <c r="C8" s="11" t="n"/>
    </row>
  </sheetData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15" customWidth="1" min="4" max="4"/>
    <col width="14" customWidth="1" min="5" max="5"/>
    <col width="13" customWidth="1" min="6" max="6"/>
    <col width="12" customWidth="1" min="7" max="7"/>
  </cols>
  <sheetData>
    <row r="1" ht="28" customHeight="1">
      <c r="A1" s="1" t="inlineStr">
        <is>
          <t>التاريخ</t>
        </is>
      </c>
      <c r="B1" s="1" t="inlineStr">
        <is>
          <t>كود العملية</t>
        </is>
      </c>
      <c r="C1" s="1" t="inlineStr">
        <is>
          <t>المنتج التعليمي</t>
        </is>
      </c>
      <c r="D1" s="1" t="inlineStr">
        <is>
          <t>صافي المقبوض</t>
        </is>
      </c>
      <c r="E1" s="1" t="inlineStr">
        <is>
          <t>جهة التحصيل</t>
        </is>
      </c>
      <c r="F1" s="1" t="inlineStr">
        <is>
          <t>اسم الطالب</t>
        </is>
      </c>
      <c r="G1" s="1" t="inlineStr">
        <is>
          <t>النوع</t>
        </is>
      </c>
    </row>
    <row r="2" ht="22" customHeight="1">
      <c r="A2" s="11" t="inlineStr">
        <is>
          <t>-</t>
        </is>
      </c>
      <c r="B2" s="12" t="inlineStr">
        <is>
          <t>AML-JVOQ-7GMY</t>
        </is>
      </c>
      <c r="C2" s="12" t="inlineStr">
        <is>
          <t>مكثفة الفيزياء - طريقك للـ 400</t>
        </is>
      </c>
      <c r="D2" s="11" t="n">
        <v>0</v>
      </c>
      <c r="E2" s="11" t="inlineStr">
        <is>
          <t>مكتبة الأمل</t>
        </is>
      </c>
      <c r="F2" s="11" t="inlineStr">
        <is>
          <t>-</t>
        </is>
      </c>
      <c r="G2" s="11" t="inlineStr">
        <is>
          <t>Course</t>
        </is>
      </c>
    </row>
    <row r="3" ht="22" customHeight="1">
      <c r="A3" s="2" t="inlineStr">
        <is>
          <t>-</t>
        </is>
      </c>
      <c r="B3" s="13" t="inlineStr">
        <is>
          <t>SCI-PKG-DEMO-2026</t>
        </is>
      </c>
      <c r="C3" s="13" t="inlineStr">
        <is>
          <t>باقة العلمي التجريبية مع المواد المشتركة</t>
        </is>
      </c>
      <c r="D3" s="2" t="n">
        <v>0</v>
      </c>
      <c r="E3" s="2" t="inlineStr">
        <is>
          <t>بيع مباشر</t>
        </is>
      </c>
      <c r="F3" s="2" t="inlineStr">
        <is>
          <t>-</t>
        </is>
      </c>
      <c r="G3" s="2" t="inlineStr">
        <is>
          <t>Package</t>
        </is>
      </c>
    </row>
  </sheetData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rightToLeft="1" workbookViewId="0">
      <selection activeCell="A1" sqref="A1"/>
    </sheetView>
  </sheetViews>
  <sheetFormatPr baseColWidth="8" defaultRowHeight="15"/>
  <cols>
    <col width="21" customWidth="1" min="1" max="1"/>
    <col width="93" customWidth="1" min="2" max="2"/>
  </cols>
  <sheetData>
    <row r="1" ht="28" customHeight="1">
      <c r="A1" s="1" t="inlineStr">
        <is>
          <t>المؤشر والمنبه</t>
        </is>
      </c>
      <c r="B1" s="1" t="inlineStr">
        <is>
          <t>الحالة الحالية</t>
        </is>
      </c>
    </row>
    <row r="2" ht="22" customHeight="1">
      <c r="A2" s="12" t="inlineStr">
        <is>
          <t>تحقيق هدف المبيعات</t>
        </is>
      </c>
      <c r="B2" s="12">
        <f>IF('01 - لوحة القيادة التنفيذية'!B5 &lt; '20 - إعدادات وتهيئة النظام'!C4, "🚨 دون المستهدف", "✅ متوافق مع الخطة")</f>
        <v/>
      </c>
    </row>
  </sheetData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rightToLeft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</cols>
  <sheetData>
    <row r="1" ht="28" customHeight="1">
      <c r="A1" s="1" t="inlineStr"/>
      <c r="B1" s="1" t="inlineStr">
        <is>
          <t>🛠️ تهيئة المتغيرات المالية للنظام</t>
        </is>
      </c>
      <c r="C1" s="1" t="inlineStr">
        <is>
          <t>القيمة</t>
        </is>
      </c>
    </row>
    <row r="2" ht="22" customHeight="1">
      <c r="A2" s="2" t="inlineStr"/>
      <c r="B2" s="12" t="inlineStr">
        <is>
          <t>نسبة عمولة المدرس الافتراضية</t>
        </is>
      </c>
      <c r="C2" s="11" t="n">
        <v>0.45</v>
      </c>
    </row>
    <row r="3" ht="22" customHeight="1">
      <c r="A3" s="2" t="inlineStr"/>
      <c r="B3" s="13" t="inlineStr">
        <is>
          <t>نسبة مصروف التشغيل (CDN/IT)</t>
        </is>
      </c>
      <c r="C3" s="2" t="n">
        <v>0.03</v>
      </c>
    </row>
    <row r="4" ht="22" customHeight="1">
      <c r="A4" s="2" t="inlineStr"/>
      <c r="B4" s="12" t="inlineStr">
        <is>
          <t>هدف الإيراد الشهري المرجعي</t>
        </is>
      </c>
      <c r="C4" s="11" t="n">
        <v>5000000</v>
      </c>
    </row>
  </sheetData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2026-05-10T00:08:25Z</dcterms:created>
  <dcterms:modified xmlns:dcterms="http://purl.org/dc/terms/" xmlns:xsi="http://www.w3.org/2001/XMLSchema-instance" xsi:type="dcterms:W3CDTF">2026-05-10T00:08:26Z</dcterms:modified>
</cp:coreProperties>
</file>